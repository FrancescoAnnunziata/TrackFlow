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mborso" sheetId="1" r:id="rId4"/>
    <sheet state="visible" name="Mapping" sheetId="2" r:id="rId5"/>
  </sheets>
  <definedNames/>
  <calcPr/>
  <extLst>
    <ext uri="GoogleSheetsCustomDataVersion2">
      <go:sheetsCustomData xmlns:go="http://customooxmlschemas.google.com/" r:id="rId6" roundtripDataChecksum="Ojb5QuFIwdmQ3y0AT+39aBuId6VvK45o5gNC2PGpXBw="/>
    </ext>
  </extLst>
</workbook>
</file>

<file path=xl/sharedStrings.xml><?xml version="1.0" encoding="utf-8"?>
<sst xmlns="http://schemas.openxmlformats.org/spreadsheetml/2006/main" count="57" uniqueCount="47">
  <si>
    <t>Spett.le Società</t>
  </si>
  <si>
    <t>NOME</t>
  </si>
  <si>
    <t>G8Labs SRL</t>
  </si>
  <si>
    <t>VIA</t>
  </si>
  <si>
    <t>Pietro Pisa 74</t>
  </si>
  <si>
    <t>CAP E CITTA'</t>
  </si>
  <si>
    <t>25014, Castenedolo</t>
  </si>
  <si>
    <t xml:space="preserve">C.F. e P. IVA: </t>
  </si>
  <si>
    <t>NOTA SPESE RIMBORSI CHILOMETRICI</t>
  </si>
  <si>
    <t>IL SIG. Giorgio Giotto</t>
  </si>
  <si>
    <t>HA EFFETTUATO NEL MESE DI Agosto 2026</t>
  </si>
  <si>
    <t>MEDIANTE L'USO DELL'AUTOMEZZO DI PROPRIETA'</t>
  </si>
  <si>
    <t>Tipo trasferta</t>
  </si>
  <si>
    <t xml:space="preserve">Da </t>
  </si>
  <si>
    <t>A</t>
  </si>
  <si>
    <t>Oggetto</t>
  </si>
  <si>
    <t>KM</t>
  </si>
  <si>
    <t>ALSEA</t>
  </si>
  <si>
    <t>Via Pisa 74, castenedolo</t>
  </si>
  <si>
    <t>Via Cornalia 19, Milano Sede Alsea</t>
  </si>
  <si>
    <t>Trasferta in sede Alsea</t>
  </si>
  <si>
    <t>TARGA</t>
  </si>
  <si>
    <t>FIORAVANTI</t>
  </si>
  <si>
    <t>MODELLO</t>
  </si>
  <si>
    <t>Via siglindi, Corana (PV)</t>
  </si>
  <si>
    <t>Trasferta Fioravanti</t>
  </si>
  <si>
    <t>TARIFFA €/KM</t>
  </si>
  <si>
    <t>FEDESPEDI</t>
  </si>
  <si>
    <t>Via Cornalia 19, Milano Sede Fedespedi</t>
  </si>
  <si>
    <t>Trasferta in sede Fedespedi</t>
  </si>
  <si>
    <t>AUTOVETTURA</t>
  </si>
  <si>
    <t>FIORAVANTI AGNADELLO</t>
  </si>
  <si>
    <t>FS760HS</t>
  </si>
  <si>
    <t>trasferta a Corana per fioravanti passando da agnadello</t>
  </si>
  <si>
    <t>Jeep Compass</t>
  </si>
  <si>
    <t>km fine</t>
  </si>
  <si>
    <t>I SEGUENTI VIAGGI:</t>
  </si>
  <si>
    <t>GG</t>
  </si>
  <si>
    <t>LOCALITA'</t>
  </si>
  <si>
    <t>OGGETTO</t>
  </si>
  <si>
    <t>ALTRE SPESE</t>
  </si>
  <si>
    <t>Note</t>
  </si>
  <si>
    <t>DA</t>
  </si>
  <si>
    <t>ANDATA E RITORNO</t>
  </si>
  <si>
    <t>INDENNITA' KM</t>
  </si>
  <si>
    <t>TOTALE TRASFERTE</t>
  </si>
  <si>
    <t xml:space="preserve">              FIRMA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</si>
</sst>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sz val="11.0"/>
      <color rgb="FF000000"/>
      <name val="Arial"/>
    </font>
    <font>
      <i/>
      <sz val="11.0"/>
      <color rgb="FF000000"/>
      <name val="Arial"/>
    </font>
    <font>
      <sz val="12.0"/>
      <color rgb="FF222222"/>
      <name val="Helvetica Neue"/>
    </font>
    <font>
      <b/>
      <sz val="11.0"/>
      <color rgb="FF000000"/>
      <name val="Arial"/>
    </font>
    <font>
      <color theme="1"/>
      <name val="Arial"/>
    </font>
    <font>
      <sz val="11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Fill="1" applyFont="1"/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5" numFmtId="0" xfId="0" applyFont="1"/>
    <xf borderId="1" fillId="0" fontId="6" numFmtId="0" xfId="0" applyAlignment="1" applyBorder="1" applyFont="1">
      <alignment horizontal="center" vertical="bottom"/>
    </xf>
    <xf borderId="2" fillId="0" fontId="1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bottom" wrapText="1"/>
    </xf>
    <xf borderId="3" fillId="0" fontId="7" numFmtId="0" xfId="0" applyBorder="1" applyFont="1"/>
    <xf borderId="2" fillId="0" fontId="6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center" shrinkToFit="0" vertical="top" wrapText="0"/>
    </xf>
    <xf borderId="2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shrinkToFit="0" vertical="bottom" wrapText="1"/>
    </xf>
    <xf borderId="5" fillId="0" fontId="7" numFmtId="0" xfId="0" applyBorder="1" applyFont="1"/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horizontal="center" shrinkToFit="0" vertical="top" wrapText="1"/>
    </xf>
    <xf borderId="2" fillId="0" fontId="4" numFmtId="0" xfId="0" applyAlignment="1" applyBorder="1" applyFont="1">
      <alignment horizontal="center" shrinkToFit="0" vertical="top" wrapText="0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readingOrder="0" vertical="bottom"/>
    </xf>
    <xf borderId="0" fillId="0" fontId="1" numFmtId="0" xfId="0" applyAlignment="1" applyFont="1">
      <alignment horizontal="center" shrinkToFit="0" vertical="bottom" wrapText="0"/>
    </xf>
    <xf borderId="3" fillId="0" fontId="6" numFmtId="0" xfId="0" applyAlignment="1" applyBorder="1" applyFont="1">
      <alignment vertical="bottom"/>
    </xf>
    <xf borderId="5" fillId="0" fontId="1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1.5"/>
    <col customWidth="1" min="3" max="3" width="31.13"/>
    <col customWidth="1" min="4" max="4" width="36.25"/>
    <col customWidth="1" min="5" max="5" width="16.0"/>
    <col customWidth="1" min="6" max="6" width="15.5"/>
    <col customWidth="1" min="7" max="7" width="34.63"/>
    <col customWidth="1" min="8" max="26" width="8.63"/>
  </cols>
  <sheetData>
    <row r="1" ht="14.25" customHeight="1">
      <c r="A1" s="1"/>
      <c r="B1" s="1"/>
      <c r="C1" s="1"/>
      <c r="D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 t="s">
        <v>1</v>
      </c>
      <c r="E2" s="1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 t="s">
        <v>3</v>
      </c>
      <c r="E3" s="1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 t="s">
        <v>5</v>
      </c>
      <c r="E4" s="1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 t="s">
        <v>7</v>
      </c>
      <c r="E5" s="3">
        <v>4.704320987E9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4"/>
      <c r="B6" s="4"/>
      <c r="C6" s="4"/>
      <c r="D6" s="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 t="s">
        <v>8</v>
      </c>
      <c r="B7" s="4"/>
      <c r="C7" s="4"/>
      <c r="D7" s="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6" t="s">
        <v>10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9"/>
      <c r="B13" s="11"/>
      <c r="C13" s="13" t="s">
        <v>21</v>
      </c>
      <c r="D13" s="14" t="s">
        <v>23</v>
      </c>
      <c r="E13" s="14" t="s">
        <v>26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5" t="s">
        <v>30</v>
      </c>
      <c r="B14" s="11"/>
      <c r="C14" s="13" t="s">
        <v>32</v>
      </c>
      <c r="D14" s="16" t="s">
        <v>34</v>
      </c>
      <c r="E14" s="16">
        <v>0.5248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36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7" t="s">
        <v>37</v>
      </c>
      <c r="B18" s="18" t="s">
        <v>38</v>
      </c>
      <c r="C18" s="11"/>
      <c r="D18" s="17" t="s">
        <v>39</v>
      </c>
      <c r="E18" s="17" t="s">
        <v>16</v>
      </c>
      <c r="F18" s="19" t="s">
        <v>40</v>
      </c>
      <c r="G18" s="19" t="s">
        <v>41</v>
      </c>
      <c r="H18" s="19" t="s">
        <v>12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20"/>
      <c r="B19" s="21" t="s">
        <v>42</v>
      </c>
      <c r="C19" s="21" t="s">
        <v>14</v>
      </c>
      <c r="D19" s="20"/>
      <c r="E19" s="20"/>
      <c r="F19" s="20"/>
      <c r="G19" s="20"/>
      <c r="H19" s="2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22"/>
      <c r="B20" s="18" t="s">
        <v>43</v>
      </c>
      <c r="C20" s="11"/>
      <c r="D20" s="23"/>
      <c r="E20" s="24"/>
      <c r="F20" s="16"/>
      <c r="G20" s="1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4">
        <v>1.0</v>
      </c>
      <c r="B21" s="8" t="str">
        <f>IF($H21="","",VLOOKUP($H21,Mapping!$A:$E,2,FALSE()))</f>
        <v/>
      </c>
      <c r="C21" s="8" t="str">
        <f>IF($H21="","",VLOOKUP($H21,Mapping!$A:$E,3,FALSE()))</f>
        <v/>
      </c>
      <c r="D21" s="8" t="str">
        <f>IF($H21="","",VLOOKUP($H21,Mapping!$A:$E,4,FALSE()))</f>
        <v/>
      </c>
      <c r="E21" s="8" t="str">
        <f>IF($H21="","",VLOOKUP($H21,Mapping!$A:$E,5,FALSE()))</f>
        <v/>
      </c>
      <c r="F21" s="25"/>
      <c r="G21" s="2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4">
        <v>2.0</v>
      </c>
      <c r="B22" s="8" t="str">
        <f>IF($H22="","",VLOOKUP($H22,Mapping!$A:$E,2,FALSE()))</f>
        <v/>
      </c>
      <c r="C22" s="8" t="str">
        <f>IF($H22="","",VLOOKUP($H22,Mapping!$A:$E,3,FALSE()))</f>
        <v/>
      </c>
      <c r="D22" s="8" t="str">
        <f>IF($H22="","",VLOOKUP($H22,Mapping!$A:$E,4,FALSE()))</f>
        <v/>
      </c>
      <c r="E22" s="8" t="str">
        <f>IF($H22="","",VLOOKUP($H22,Mapping!$A:$E,5,FALSE()))</f>
        <v/>
      </c>
      <c r="F22" s="25"/>
      <c r="G22" s="25"/>
      <c r="H22" s="2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4">
        <v>3.0</v>
      </c>
      <c r="B23" s="8" t="str">
        <f>IF($H23="","",VLOOKUP($H23,Mapping!$A:$E,2,FALSE()))</f>
        <v/>
      </c>
      <c r="C23" s="8" t="str">
        <f>IF($H23="","",VLOOKUP($H23,Mapping!$A:$E,3,FALSE()))</f>
        <v/>
      </c>
      <c r="D23" s="8" t="str">
        <f>IF($H23="","",VLOOKUP($H23,Mapping!$A:$E,4,FALSE()))</f>
        <v/>
      </c>
      <c r="E23" s="8" t="str">
        <f>IF($H23="","",VLOOKUP($H23,Mapping!$A:$E,5,FALSE()))</f>
        <v/>
      </c>
      <c r="F23" s="25"/>
      <c r="G23" s="25"/>
      <c r="H23" s="2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4">
        <v>4.0</v>
      </c>
      <c r="B24" s="8" t="str">
        <f>IF($H24="","",VLOOKUP($H24,Mapping!$A:$E,2,FALSE()))</f>
        <v/>
      </c>
      <c r="C24" s="8" t="str">
        <f>IF($H24="","",VLOOKUP($H24,Mapping!$A:$E,3,FALSE()))</f>
        <v/>
      </c>
      <c r="D24" s="8" t="str">
        <f>IF($H24="","",VLOOKUP($H24,Mapping!$A:$E,4,FALSE()))</f>
        <v/>
      </c>
      <c r="E24" s="8" t="str">
        <f>IF($H24="","",VLOOKUP($H24,Mapping!$A:$E,5,FALSE()))</f>
        <v/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4">
        <v>5.0</v>
      </c>
      <c r="B25" s="8" t="str">
        <f>IF($H25="","",VLOOKUP($H25,Mapping!$A:$E,2,FALSE()))</f>
        <v/>
      </c>
      <c r="C25" s="8" t="str">
        <f>IF($H25="","",VLOOKUP($H25,Mapping!$A:$E,3,FALSE()))</f>
        <v/>
      </c>
      <c r="D25" s="8" t="str">
        <f>IF($H25="","",VLOOKUP($H25,Mapping!$A:$E,4,FALSE()))</f>
        <v/>
      </c>
      <c r="E25" s="8" t="str">
        <f>IF($H25="","",VLOOKUP($H25,Mapping!$A:$E,5,FALSE()))</f>
        <v/>
      </c>
      <c r="F25" s="25"/>
      <c r="G25" s="25"/>
      <c r="H25" s="2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4">
        <v>6.0</v>
      </c>
      <c r="B26" s="8" t="str">
        <f>IF($H26="","",VLOOKUP($H26,Mapping!$A:$E,2,FALSE()))</f>
        <v>Via Pisa 74, castenedolo</v>
      </c>
      <c r="C26" s="8" t="str">
        <f>IF($H26="","",VLOOKUP($H26,Mapping!$A:$E,3,FALSE()))</f>
        <v>Via Cornalia 19, Milano Sede Alsea</v>
      </c>
      <c r="D26" s="8" t="str">
        <f>IF($H26="","",VLOOKUP($H26,Mapping!$A:$E,4,FALSE()))</f>
        <v>Trasferta in sede Alsea</v>
      </c>
      <c r="E26" s="8">
        <f>IF($H26="","",VLOOKUP($H26,Mapping!$A:$E,5,FALSE()))</f>
        <v>240</v>
      </c>
      <c r="F26" s="26"/>
      <c r="G26" s="25"/>
      <c r="H26" s="27" t="s">
        <v>17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4">
        <v>7.0</v>
      </c>
      <c r="B27" s="8" t="str">
        <f>IF($H27="","",VLOOKUP($H27,Mapping!$A:$E,2,FALSE()))</f>
        <v/>
      </c>
      <c r="C27" s="8" t="str">
        <f>IF($H27="","",VLOOKUP($H27,Mapping!$A:$E,3,FALSE()))</f>
        <v/>
      </c>
      <c r="D27" s="8" t="str">
        <f>IF($H27="","",VLOOKUP($H27,Mapping!$A:$E,4,FALSE()))</f>
        <v/>
      </c>
      <c r="E27" s="8" t="str">
        <f>IF($H27="","",VLOOKUP($H27,Mapping!$A:$E,5,FALSE()))</f>
        <v/>
      </c>
      <c r="F27" s="25"/>
      <c r="G27" s="25"/>
      <c r="H27" s="2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4">
        <v>8.0</v>
      </c>
      <c r="B28" s="8" t="str">
        <f>IF($H28="","",VLOOKUP($H28,Mapping!$A:$E,2,FALSE()))</f>
        <v/>
      </c>
      <c r="C28" s="8" t="str">
        <f>IF($H28="","",VLOOKUP($H28,Mapping!$A:$E,3,FALSE()))</f>
        <v/>
      </c>
      <c r="D28" s="8" t="str">
        <f>IF($H28="","",VLOOKUP($H28,Mapping!$A:$E,4,FALSE()))</f>
        <v/>
      </c>
      <c r="E28" s="8" t="str">
        <f>IF($H28="","",VLOOKUP($H28,Mapping!$A:$E,5,FALSE()))</f>
        <v/>
      </c>
      <c r="F28" s="25"/>
      <c r="G28" s="25"/>
      <c r="H28" s="2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4">
        <v>9.0</v>
      </c>
      <c r="B29" s="8" t="str">
        <f>IF($H29="","",VLOOKUP($H29,Mapping!$A:$E,2,FALSE()))</f>
        <v/>
      </c>
      <c r="C29" s="8" t="str">
        <f>IF($H29="","",VLOOKUP($H29,Mapping!$A:$E,3,FALSE()))</f>
        <v/>
      </c>
      <c r="D29" s="8" t="str">
        <f>IF($H29="","",VLOOKUP($H29,Mapping!$A:$E,4,FALSE()))</f>
        <v/>
      </c>
      <c r="E29" s="8" t="str">
        <f>IF($H29="","",VLOOKUP($H29,Mapping!$A:$E,5,FALSE()))</f>
        <v/>
      </c>
      <c r="F29" s="25"/>
      <c r="G29" s="25"/>
      <c r="H29" s="2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4">
        <v>10.0</v>
      </c>
      <c r="B30" s="8" t="str">
        <f>IF($H30="","",VLOOKUP($H30,Mapping!$A:$E,2,FALSE()))</f>
        <v/>
      </c>
      <c r="C30" s="8" t="str">
        <f>IF($H30="","",VLOOKUP($H30,Mapping!$A:$E,3,FALSE()))</f>
        <v/>
      </c>
      <c r="D30" s="8" t="str">
        <f>IF($H30="","",VLOOKUP($H30,Mapping!$A:$E,4,FALSE()))</f>
        <v/>
      </c>
      <c r="E30" s="8" t="str">
        <f>IF($H30="","",VLOOKUP($H30,Mapping!$A:$E,5,FALSE()))</f>
        <v/>
      </c>
      <c r="F30" s="26"/>
      <c r="G30" s="25"/>
      <c r="H30" s="2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4">
        <v>11.0</v>
      </c>
      <c r="B31" s="8" t="str">
        <f>IF($H31="","",VLOOKUP($H31,Mapping!$A:$E,2,FALSE()))</f>
        <v/>
      </c>
      <c r="C31" s="8" t="str">
        <f>IF($H31="","",VLOOKUP($H31,Mapping!$A:$E,3,FALSE()))</f>
        <v/>
      </c>
      <c r="D31" s="8" t="str">
        <f>IF($H31="","",VLOOKUP($H31,Mapping!$A:$E,4,FALSE()))</f>
        <v/>
      </c>
      <c r="E31" s="8" t="str">
        <f>IF($H31="","",VLOOKUP($H31,Mapping!$A:$E,5,FALSE()))</f>
        <v/>
      </c>
      <c r="F31" s="26"/>
      <c r="G31" s="25"/>
      <c r="H31" s="2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4">
        <v>12.0</v>
      </c>
      <c r="B32" s="8" t="str">
        <f>IF($H32="","",VLOOKUP($H32,Mapping!$A:$E,2,FALSE()))</f>
        <v/>
      </c>
      <c r="C32" s="8" t="str">
        <f>IF($H32="","",VLOOKUP($H32,Mapping!$A:$E,3,FALSE()))</f>
        <v/>
      </c>
      <c r="D32" s="8" t="str">
        <f>IF($H32="","",VLOOKUP($H32,Mapping!$A:$E,4,FALSE()))</f>
        <v/>
      </c>
      <c r="E32" s="8" t="str">
        <f>IF($H32="","",VLOOKUP($H32,Mapping!$A:$E,5,FALSE()))</f>
        <v/>
      </c>
      <c r="F32" s="25"/>
      <c r="G32" s="25"/>
      <c r="H32" s="2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4">
        <v>13.0</v>
      </c>
      <c r="B33" s="8" t="str">
        <f>IF($H33="","",VLOOKUP($H33,Mapping!$A:$E,2,FALSE()))</f>
        <v/>
      </c>
      <c r="C33" s="8" t="str">
        <f>IF($H33="","",VLOOKUP($H33,Mapping!$A:$E,3,FALSE()))</f>
        <v/>
      </c>
      <c r="D33" s="8" t="str">
        <f>IF($H33="","",VLOOKUP($H33,Mapping!$A:$E,4,FALSE()))</f>
        <v/>
      </c>
      <c r="E33" s="8" t="str">
        <f>IF($H33="","",VLOOKUP($H33,Mapping!$A:$E,5,FALSE()))</f>
        <v/>
      </c>
      <c r="F33" s="25"/>
      <c r="G33" s="25"/>
      <c r="H33" s="2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4">
        <v>14.0</v>
      </c>
      <c r="B34" s="8" t="str">
        <f>IF($H34="","",VLOOKUP($H34,Mapping!$A:$E,2,FALSE()))</f>
        <v/>
      </c>
      <c r="C34" s="8" t="str">
        <f>IF($H34="","",VLOOKUP($H34,Mapping!$A:$E,3,FALSE()))</f>
        <v/>
      </c>
      <c r="D34" s="8" t="str">
        <f>IF($H34="","",VLOOKUP($H34,Mapping!$A:$E,4,FALSE()))</f>
        <v/>
      </c>
      <c r="E34" s="8" t="str">
        <f>IF($H34="","",VLOOKUP($H34,Mapping!$A:$E,5,FALSE()))</f>
        <v/>
      </c>
      <c r="F34" s="25"/>
      <c r="G34" s="25"/>
      <c r="H34" s="2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4">
        <v>15.0</v>
      </c>
      <c r="B35" s="8" t="str">
        <f>IF($H35="","",VLOOKUP($H35,Mapping!$A:$E,2,FALSE()))</f>
        <v/>
      </c>
      <c r="C35" s="8" t="str">
        <f>IF($H35="","",VLOOKUP($H35,Mapping!$A:$E,3,FALSE()))</f>
        <v/>
      </c>
      <c r="D35" s="8" t="str">
        <f>IF($H35="","",VLOOKUP($H35,Mapping!$A:$E,4,FALSE()))</f>
        <v/>
      </c>
      <c r="E35" s="8" t="str">
        <f>IF($H35="","",VLOOKUP($H35,Mapping!$A:$E,5,FALSE()))</f>
        <v/>
      </c>
      <c r="F35" s="25"/>
      <c r="G35" s="25"/>
      <c r="H35" s="2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4">
        <v>16.0</v>
      </c>
      <c r="B36" s="8" t="str">
        <f>IF($H36="","",VLOOKUP($H36,Mapping!$A:$E,2,FALSE()))</f>
        <v/>
      </c>
      <c r="C36" s="8" t="str">
        <f>IF($H36="","",VLOOKUP($H36,Mapping!$A:$E,3,FALSE()))</f>
        <v/>
      </c>
      <c r="D36" s="8" t="str">
        <f>IF($H36="","",VLOOKUP($H36,Mapping!$A:$E,4,FALSE()))</f>
        <v/>
      </c>
      <c r="E36" s="8" t="str">
        <f>IF($H36="","",VLOOKUP($H36,Mapping!$A:$E,5,FALSE()))</f>
        <v/>
      </c>
      <c r="F36" s="25"/>
      <c r="G36" s="25"/>
      <c r="H36" s="2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4">
        <v>17.0</v>
      </c>
      <c r="B37" s="8" t="str">
        <f>IF($H37="","",VLOOKUP($H37,Mapping!$A:$E,2,FALSE()))</f>
        <v/>
      </c>
      <c r="C37" s="8" t="str">
        <f>IF($H37="","",VLOOKUP($H37,Mapping!$A:$E,3,FALSE()))</f>
        <v/>
      </c>
      <c r="D37" s="8" t="str">
        <f>IF($H37="","",VLOOKUP($H37,Mapping!$A:$E,4,FALSE()))</f>
        <v/>
      </c>
      <c r="E37" s="8" t="str">
        <f>IF($H37="","",VLOOKUP($H37,Mapping!$A:$E,5,FALSE()))</f>
        <v/>
      </c>
      <c r="F37" s="25"/>
      <c r="G37" s="25"/>
      <c r="H37" s="2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4">
        <v>18.0</v>
      </c>
      <c r="B38" s="8" t="str">
        <f>IF($H38="","",VLOOKUP($H38,Mapping!$A:$E,2,FALSE()))</f>
        <v/>
      </c>
      <c r="C38" s="8" t="str">
        <f>IF($H38="","",VLOOKUP($H38,Mapping!$A:$E,3,FALSE()))</f>
        <v/>
      </c>
      <c r="D38" s="8" t="str">
        <f>IF($H38="","",VLOOKUP($H38,Mapping!$A:$E,4,FALSE()))</f>
        <v/>
      </c>
      <c r="E38" s="8" t="str">
        <f>IF($H38="","",VLOOKUP($H38,Mapping!$A:$E,5,FALSE()))</f>
        <v/>
      </c>
      <c r="F38" s="25"/>
      <c r="G38" s="25"/>
      <c r="H38" s="2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4">
        <v>19.0</v>
      </c>
      <c r="B39" s="8" t="str">
        <f>IF($H39="","",VLOOKUP($H39,Mapping!$A:$E,2,FALSE()))</f>
        <v/>
      </c>
      <c r="C39" s="8" t="str">
        <f>IF($H39="","",VLOOKUP($H39,Mapping!$A:$E,3,FALSE()))</f>
        <v/>
      </c>
      <c r="D39" s="8" t="str">
        <f>IF($H39="","",VLOOKUP($H39,Mapping!$A:$E,4,FALSE()))</f>
        <v/>
      </c>
      <c r="E39" s="8" t="str">
        <f>IF($H39="","",VLOOKUP($H39,Mapping!$A:$E,5,FALSE()))</f>
        <v/>
      </c>
      <c r="F39" s="25"/>
      <c r="G39" s="25"/>
      <c r="H39" s="2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4">
        <v>20.0</v>
      </c>
      <c r="B40" s="8" t="str">
        <f>IF($H40="","",VLOOKUP($H40,Mapping!$A:$E,2,FALSE()))</f>
        <v/>
      </c>
      <c r="C40" s="8" t="str">
        <f>IF($H40="","",VLOOKUP($H40,Mapping!$A:$E,3,FALSE()))</f>
        <v/>
      </c>
      <c r="D40" s="8" t="str">
        <f>IF($H40="","",VLOOKUP($H40,Mapping!$A:$E,4,FALSE()))</f>
        <v/>
      </c>
      <c r="E40" s="8" t="str">
        <f>IF($H40="","",VLOOKUP($H40,Mapping!$A:$E,5,FALSE()))</f>
        <v/>
      </c>
      <c r="F40" s="25"/>
      <c r="G40" s="25"/>
      <c r="H40" s="2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4">
        <v>21.0</v>
      </c>
      <c r="B41" s="8" t="str">
        <f>IF($H41="","",VLOOKUP($H41,Mapping!$A:$E,2,FALSE()))</f>
        <v/>
      </c>
      <c r="C41" s="8" t="str">
        <f>IF($H41="","",VLOOKUP($H41,Mapping!$A:$E,3,FALSE()))</f>
        <v/>
      </c>
      <c r="D41" s="8" t="str">
        <f>IF($H41="","",VLOOKUP($H41,Mapping!$A:$E,4,FALSE()))</f>
        <v/>
      </c>
      <c r="E41" s="8" t="str">
        <f>IF($H41="","",VLOOKUP($H41,Mapping!$A:$E,5,FALSE()))</f>
        <v/>
      </c>
      <c r="F41" s="25"/>
      <c r="G41" s="25"/>
      <c r="H41" s="2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4">
        <v>22.0</v>
      </c>
      <c r="B42" s="8" t="str">
        <f>IF($H42="","",VLOOKUP($H42,Mapping!$A:$E,2,FALSE()))</f>
        <v/>
      </c>
      <c r="C42" s="8" t="str">
        <f>IF($H42="","",VLOOKUP($H42,Mapping!$A:$E,3,FALSE()))</f>
        <v/>
      </c>
      <c r="D42" s="8" t="str">
        <f>IF($H42="","",VLOOKUP($H42,Mapping!$A:$E,4,FALSE()))</f>
        <v/>
      </c>
      <c r="E42" s="8" t="str">
        <f>IF($H42="","",VLOOKUP($H42,Mapping!$A:$E,5,FALSE()))</f>
        <v/>
      </c>
      <c r="F42" s="25"/>
      <c r="G42" s="25"/>
      <c r="H42" s="2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4">
        <v>23.0</v>
      </c>
      <c r="B43" s="8" t="str">
        <f>IF($H43="","",VLOOKUP($H43,Mapping!$A:$E,2,FALSE()))</f>
        <v/>
      </c>
      <c r="C43" s="8" t="str">
        <f>IF($H43="","",VLOOKUP($H43,Mapping!$A:$E,3,FALSE()))</f>
        <v/>
      </c>
      <c r="D43" s="8" t="str">
        <f>IF($H43="","",VLOOKUP($H43,Mapping!$A:$E,4,FALSE()))</f>
        <v/>
      </c>
      <c r="E43" s="8" t="str">
        <f>IF($H43="","",VLOOKUP($H43,Mapping!$A:$E,5,FALSE()))</f>
        <v/>
      </c>
      <c r="F43" s="25"/>
      <c r="G43" s="25"/>
      <c r="H43" s="2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4">
        <v>24.0</v>
      </c>
      <c r="B44" s="8" t="str">
        <f>IF($H44="","",VLOOKUP($H44,Mapping!$A:$E,2,FALSE()))</f>
        <v/>
      </c>
      <c r="C44" s="8" t="str">
        <f>IF($H44="","",VLOOKUP($H44,Mapping!$A:$E,3,FALSE()))</f>
        <v/>
      </c>
      <c r="D44" s="8" t="str">
        <f>IF($H44="","",VLOOKUP($H44,Mapping!$A:$E,4,FALSE()))</f>
        <v/>
      </c>
      <c r="E44" s="8" t="str">
        <f>IF($H44="","",VLOOKUP($H44,Mapping!$A:$E,5,FALSE()))</f>
        <v/>
      </c>
      <c r="F44" s="25"/>
      <c r="G44" s="25"/>
      <c r="H44" s="2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4">
        <v>25.0</v>
      </c>
      <c r="B45" s="8" t="str">
        <f>IF($H45="","",VLOOKUP($H45,Mapping!$A:$E,2,FALSE()))</f>
        <v/>
      </c>
      <c r="C45" s="8" t="str">
        <f>IF($H45="","",VLOOKUP($H45,Mapping!$A:$E,3,FALSE()))</f>
        <v/>
      </c>
      <c r="D45" s="8" t="str">
        <f>IF($H45="","",VLOOKUP($H45,Mapping!$A:$E,4,FALSE()))</f>
        <v/>
      </c>
      <c r="E45" s="8" t="str">
        <f>IF($H45="","",VLOOKUP($H45,Mapping!$A:$E,5,FALSE()))</f>
        <v/>
      </c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4">
        <v>26.0</v>
      </c>
      <c r="B46" s="8" t="str">
        <f>IF($H46="","",VLOOKUP($H46,Mapping!$A:$E,2,FALSE()))</f>
        <v/>
      </c>
      <c r="C46" s="8" t="str">
        <f>IF($H46="","",VLOOKUP($H46,Mapping!$A:$E,3,FALSE()))</f>
        <v/>
      </c>
      <c r="D46" s="8" t="str">
        <f>IF($H46="","",VLOOKUP($H46,Mapping!$A:$E,4,FALSE()))</f>
        <v/>
      </c>
      <c r="E46" s="8" t="str">
        <f>IF($H46="","",VLOOKUP($H46,Mapping!$A:$E,5,FALSE()))</f>
        <v/>
      </c>
      <c r="F46" s="26"/>
      <c r="G46" s="25"/>
      <c r="H46" s="2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4">
        <v>27.0</v>
      </c>
      <c r="B47" s="8" t="str">
        <f>IF($H47="","",VLOOKUP($H47,Mapping!$A:$E,2,FALSE()))</f>
        <v/>
      </c>
      <c r="C47" s="8" t="str">
        <f>IF($H47="","",VLOOKUP($H47,Mapping!$A:$E,3,FALSE()))</f>
        <v/>
      </c>
      <c r="D47" s="8" t="str">
        <f>IF($H47="","",VLOOKUP($H47,Mapping!$A:$E,4,FALSE()))</f>
        <v/>
      </c>
      <c r="E47" s="8" t="str">
        <f>IF($H47="","",VLOOKUP($H47,Mapping!$A:$E,5,FALSE()))</f>
        <v/>
      </c>
      <c r="F47" s="25"/>
      <c r="G47" s="25"/>
      <c r="H47" s="2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4">
        <v>28.0</v>
      </c>
      <c r="B48" s="8" t="str">
        <f>IF($H48="","",VLOOKUP($H48,Mapping!$A:$E,2,FALSE()))</f>
        <v>Via Pisa 74, castenedolo</v>
      </c>
      <c r="C48" s="8" t="str">
        <f>IF($H48="","",VLOOKUP($H48,Mapping!$A:$E,3,FALSE()))</f>
        <v>Via Cornalia 19, Milano Sede Fedespedi</v>
      </c>
      <c r="D48" s="8" t="str">
        <f>IF($H48="","",VLOOKUP($H48,Mapping!$A:$E,4,FALSE()))</f>
        <v>Trasferta in sede Fedespedi</v>
      </c>
      <c r="E48" s="8">
        <f>IF($H48="","",VLOOKUP($H48,Mapping!$A:$E,5,FALSE()))</f>
        <v>240</v>
      </c>
      <c r="F48" s="25"/>
      <c r="G48" s="25"/>
      <c r="H48" s="27" t="s">
        <v>27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4">
        <v>29.0</v>
      </c>
      <c r="B49" s="8" t="str">
        <f>IF($H49="","",VLOOKUP($H49,Mapping!$A:$E,2,FALSE()))</f>
        <v/>
      </c>
      <c r="C49" s="8" t="str">
        <f>IF($H49="","",VLOOKUP($H49,Mapping!$A:$E,3,FALSE()))</f>
        <v/>
      </c>
      <c r="D49" s="8" t="str">
        <f>IF($H49="","",VLOOKUP($H49,Mapping!$A:$E,4,FALSE()))</f>
        <v/>
      </c>
      <c r="E49" s="8" t="str">
        <f>IF($H49="","",VLOOKUP($H49,Mapping!$A:$E,5,FALSE()))</f>
        <v/>
      </c>
      <c r="F49" s="25"/>
      <c r="G49" s="25"/>
      <c r="H49" s="2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8">
        <v>30.0</v>
      </c>
      <c r="B50" s="8" t="str">
        <f>IF($H50="","",VLOOKUP($H50,Mapping!$A:$E,2,FALSE()))</f>
        <v/>
      </c>
      <c r="C50" s="8" t="str">
        <f>IF($H50="","",VLOOKUP($H50,Mapping!$A:$E,3,FALSE()))</f>
        <v/>
      </c>
      <c r="D50" s="8" t="str">
        <f>IF($H50="","",VLOOKUP($H50,Mapping!$A:$E,4,FALSE()))</f>
        <v/>
      </c>
      <c r="E50" s="8" t="str">
        <f>IF($H50="","",VLOOKUP($H50,Mapping!$A:$E,5,FALSE()))</f>
        <v/>
      </c>
      <c r="F50" s="29"/>
      <c r="G50" s="29"/>
      <c r="H50" s="2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4">
        <v>31.0</v>
      </c>
      <c r="B51" s="8" t="str">
        <f>IF($H51="","",VLOOKUP($H51,Mapping!$A:$E,2,FALSE()))</f>
        <v/>
      </c>
      <c r="C51" s="8" t="str">
        <f>IF($H51="","",VLOOKUP($H51,Mapping!$A:$E,3,FALSE()))</f>
        <v/>
      </c>
      <c r="D51" s="8" t="str">
        <f>IF($H51="","",VLOOKUP($H51,Mapping!$A:$E,4,FALSE()))</f>
        <v/>
      </c>
      <c r="E51" s="8" t="str">
        <f>IF($H51="","",VLOOKUP($H51,Mapping!$A:$E,5,FALSE()))</f>
        <v/>
      </c>
      <c r="F51" s="25"/>
      <c r="G51" s="25"/>
      <c r="H51" s="2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8"/>
      <c r="B52" s="28"/>
      <c r="C52" s="28"/>
      <c r="D52" s="28"/>
      <c r="E52" s="30">
        <f t="shared" ref="E52:F52" si="1">SUM(E21:E51)</f>
        <v>480</v>
      </c>
      <c r="F52" s="31">
        <f t="shared" si="1"/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8"/>
      <c r="B53" s="28"/>
      <c r="C53" s="28"/>
      <c r="D53" s="28"/>
      <c r="E53" s="2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9" t="s">
        <v>44</v>
      </c>
      <c r="D54" s="11"/>
      <c r="E54" s="16">
        <f>E52*E14</f>
        <v>251.904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6" t="s">
        <v>40</v>
      </c>
      <c r="D55" s="16"/>
      <c r="E55" s="16">
        <f>F52</f>
        <v>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9" t="s">
        <v>45</v>
      </c>
      <c r="D56" s="11"/>
      <c r="E56" s="16">
        <f>SUM(E54:E55)</f>
        <v>251.904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 t="s">
        <v>46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18:E19"/>
    <mergeCell ref="F18:F19"/>
    <mergeCell ref="G18:G19"/>
    <mergeCell ref="H18:H19"/>
    <mergeCell ref="D18:D19"/>
    <mergeCell ref="C54:D54"/>
    <mergeCell ref="C56:D56"/>
    <mergeCell ref="A58:B58"/>
    <mergeCell ref="A9:C9"/>
    <mergeCell ref="A10:D10"/>
    <mergeCell ref="A13:B13"/>
    <mergeCell ref="A14:B14"/>
    <mergeCell ref="A18:A19"/>
    <mergeCell ref="B18:C18"/>
    <mergeCell ref="B20:C20"/>
  </mergeCells>
  <dataValidations>
    <dataValidation type="list" allowBlank="1" showErrorMessage="1" sqref="H21:H51">
      <formula1>"ALSEA,FIORAVANTI AGNADELLO,FEDESPEDI"</formula1>
    </dataValidation>
  </dataValidations>
  <printOptions/>
  <pageMargins bottom="0.3" footer="0.0" header="0.0" left="0.25" right="0.25" top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21.13"/>
    <col customWidth="1" min="3" max="3" width="33.75"/>
  </cols>
  <sheetData>
    <row r="1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</row>
    <row r="2">
      <c r="A2" s="7" t="s">
        <v>17</v>
      </c>
      <c r="B2" s="8" t="s">
        <v>18</v>
      </c>
      <c r="C2" s="8" t="s">
        <v>19</v>
      </c>
      <c r="D2" s="10" t="s">
        <v>20</v>
      </c>
      <c r="E2" s="12">
        <v>240.0</v>
      </c>
    </row>
    <row r="3">
      <c r="A3" s="7" t="s">
        <v>22</v>
      </c>
      <c r="B3" s="8" t="s">
        <v>18</v>
      </c>
      <c r="C3" s="8" t="s">
        <v>24</v>
      </c>
      <c r="D3" s="7" t="s">
        <v>25</v>
      </c>
      <c r="E3" s="7">
        <v>350.0</v>
      </c>
    </row>
    <row r="4">
      <c r="A4" s="7" t="s">
        <v>27</v>
      </c>
      <c r="B4" s="8" t="s">
        <v>18</v>
      </c>
      <c r="C4" s="8" t="s">
        <v>28</v>
      </c>
      <c r="D4" s="10" t="s">
        <v>29</v>
      </c>
      <c r="E4" s="12">
        <v>240.0</v>
      </c>
    </row>
    <row r="5">
      <c r="A5" s="7" t="s">
        <v>31</v>
      </c>
      <c r="B5" s="8" t="s">
        <v>18</v>
      </c>
      <c r="C5" s="8" t="s">
        <v>24</v>
      </c>
      <c r="D5" s="8" t="s">
        <v>33</v>
      </c>
      <c r="E5" s="12">
        <f>200+200</f>
        <v>400</v>
      </c>
    </row>
    <row r="9">
      <c r="A9" s="7" t="s">
        <v>35</v>
      </c>
      <c r="B9" s="7">
        <v>161.0</v>
      </c>
    </row>
  </sheetData>
  <drawing r:id="rId1"/>
</worksheet>
</file>